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scott/IDrive-Sync/Downloads/"/>
    </mc:Choice>
  </mc:AlternateContent>
  <xr:revisionPtr revIDLastSave="0" documentId="13_ncr:1_{EB00B829-8DFA-8745-B8E4-9571151E5D59}" xr6:coauthVersionLast="47" xr6:coauthVersionMax="47" xr10:uidLastSave="{00000000-0000-0000-0000-000000000000}"/>
  <bookViews>
    <workbookView xWindow="2700" yWindow="4000" windowWidth="27120" windowHeight="21120" activeTab="1" xr2:uid="{00000000-000D-0000-FFFF-FFFF00000000}"/>
  </bookViews>
  <sheets>
    <sheet name="ReadMe" sheetId="1" r:id="rId1"/>
    <sheet name="Assumptions" sheetId="2" r:id="rId2"/>
    <sheet name="Model" sheetId="3" r:id="rId3"/>
    <sheet name="Charts" sheetId="4" r:id="rId4"/>
    <sheet name="Documenta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3" l="1"/>
  <c r="B29" i="3"/>
  <c r="B28" i="3"/>
  <c r="B27" i="3"/>
  <c r="B26" i="3"/>
  <c r="D19" i="3"/>
  <c r="C19" i="3"/>
  <c r="B19" i="3"/>
  <c r="C27" i="3" s="1"/>
  <c r="B18" i="3"/>
  <c r="D13" i="3"/>
  <c r="C13" i="3"/>
  <c r="B13" i="3"/>
  <c r="D12" i="3"/>
  <c r="D18" i="3" s="1"/>
  <c r="C12" i="3"/>
  <c r="C18" i="3" s="1"/>
  <c r="B12" i="3"/>
  <c r="B7" i="3"/>
  <c r="E6" i="3"/>
  <c r="B6" i="3"/>
  <c r="E5" i="3"/>
  <c r="B5" i="3"/>
  <c r="E4" i="3"/>
  <c r="B4" i="3"/>
  <c r="C23" i="2"/>
  <c r="C24" i="2" s="1"/>
  <c r="D27" i="3" l="1"/>
  <c r="C33" i="3"/>
  <c r="C26" i="3"/>
  <c r="D26" i="3" s="1"/>
  <c r="E40" i="2"/>
  <c r="C26" i="2"/>
  <c r="D40" i="2"/>
  <c r="C25" i="2"/>
  <c r="B20" i="3"/>
  <c r="C20" i="3"/>
  <c r="C34" i="3" l="1"/>
  <c r="C35" i="3" s="1"/>
  <c r="D20" i="3"/>
  <c r="C28" i="3" s="1"/>
  <c r="D28" i="3" s="1"/>
  <c r="C38" i="3"/>
  <c r="C39" i="3" s="1"/>
  <c r="D21" i="3"/>
  <c r="C21" i="3"/>
  <c r="B21" i="3"/>
  <c r="C29" i="3" l="1"/>
  <c r="D29" i="3" s="1"/>
</calcChain>
</file>

<file path=xl/sharedStrings.xml><?xml version="1.0" encoding="utf-8"?>
<sst xmlns="http://schemas.openxmlformats.org/spreadsheetml/2006/main" count="216" uniqueCount="199">
  <si>
    <t>AI Cost Volatility: Build vs Buy Analysis</t>
  </si>
  <si>
    <t>IMPORTANT: This is an educational model to illustrate AI cost volatility concepts.</t>
  </si>
  <si>
    <t>Defaults are illustrative only. Customize all blue cells with your actual data.</t>
  </si>
  <si>
    <t>Purpose:</t>
  </si>
  <si>
    <t>Show how AI inference costs make traditional build-vs-buy TCO analysis unreliable.</t>
  </si>
  <si>
    <t>The Four Options:</t>
  </si>
  <si>
    <t xml:space="preserve">  1. Traditional SaaS - Predictable per-seat costs</t>
  </si>
  <si>
    <t xml:space="preserve">  2. Traditional Build - High upfront, low ongoing</t>
  </si>
  <si>
    <t xml:space="preserve">  3. SaaS + AI - Per-seat PLUS variable inference</t>
  </si>
  <si>
    <t xml:space="preserve">  4. Build + AI - High upfront PLUS variable inference</t>
  </si>
  <si>
    <t>How to Use:</t>
  </si>
  <si>
    <t xml:space="preserve">  1. Edit BLUE cells in Assumptions sheet</t>
  </si>
  <si>
    <t xml:space="preserve">  2. Focus on AI parameters (monthly interactions, tokens, pricing)</t>
  </si>
  <si>
    <t xml:space="preserve">  3. Try usage multiplier at 1x, 5x, 10x to see cost volatility</t>
  </si>
  <si>
    <t xml:space="preserve">  4. View Model sheet for 3-year totals</t>
  </si>
  <si>
    <t xml:space="preserve">  5. View Charts for visual comparison</t>
  </si>
  <si>
    <t>About The Baseline Assumptions:</t>
  </si>
  <si>
    <t>This model uses mid-market defaults (1,000 users). At this scale:</t>
  </si>
  <si>
    <t>At 1x multiplier: AI options look cheaper</t>
  </si>
  <si>
    <t>ASSUMPTIONS (Edit Blue Cells)</t>
  </si>
  <si>
    <t>BASIC SETTINGS</t>
  </si>
  <si>
    <t>Number of users/seats</t>
  </si>
  <si>
    <t>Seat growth per year</t>
  </si>
  <si>
    <t>AI INFERENCE PARAMETERS (Most Important!)</t>
  </si>
  <si>
    <t>Monthly AI interactions</t>
  </si>
  <si>
    <t>Queries, tickets, chats</t>
  </si>
  <si>
    <t>Tokens per interaction (avg)</t>
  </si>
  <si>
    <t>2-5K typical</t>
  </si>
  <si>
    <t>Cost per 1M tokens</t>
  </si>
  <si>
    <t>$3-15 range</t>
  </si>
  <si>
    <t>AI usage growth per year</t>
  </si>
  <si>
    <t>15-50% typical</t>
  </si>
  <si>
    <t>Input/output token ratio</t>
  </si>
  <si>
    <t>Typical: 70% input, 30% output</t>
  </si>
  <si>
    <t>Output token cost multiplier</t>
  </si>
  <si>
    <t>Usually 3-5x input cost</t>
  </si>
  <si>
    <t>Usage multiplier scenario</t>
  </si>
  <si>
    <t>Try 1x, 5x, 10x</t>
  </si>
  <si>
    <t>CALCULATED AI INFERENCE COST (with input/output blend)</t>
  </si>
  <si>
    <t>Blended cost per 1M tokens:</t>
  </si>
  <si>
    <t>Base annual inference cost:</t>
  </si>
  <si>
    <t>Year 1 with growth + multiplier:</t>
  </si>
  <si>
    <t>Year 3 with growth + multiplier:</t>
  </si>
  <si>
    <t>NOTE: These defaults assume a mid-market scenario (1,000 users).</t>
  </si>
  <si>
    <t>Initial Testing</t>
  </si>
  <si>
    <t>ANNUAL RECURRING COSTS</t>
  </si>
  <si>
    <t>Trad SaaS</t>
  </si>
  <si>
    <t>Trad Build</t>
  </si>
  <si>
    <t>SaaS + AI</t>
  </si>
  <si>
    <t>Build + AI</t>
  </si>
  <si>
    <t>Subscriptions (per seat)</t>
  </si>
  <si>
    <t>Maintenance/Support/ML Team</t>
  </si>
  <si>
    <t>Compliance &amp; Audits</t>
  </si>
  <si>
    <t>AI Inference (from above)</t>
  </si>
  <si>
    <t>AI Monitoring/Testing</t>
  </si>
  <si>
    <t>AI Data Storage/Processing</t>
  </si>
  <si>
    <t>3-YEAR TOTAL COST OF OWNERSHIP</t>
  </si>
  <si>
    <t>Key Parameters</t>
  </si>
  <si>
    <t>Seats:</t>
  </si>
  <si>
    <t>Monthly interactions:</t>
  </si>
  <si>
    <t>Seat growth:</t>
  </si>
  <si>
    <t>Tokens/interaction:</t>
  </si>
  <si>
    <t>AI usage growth:</t>
  </si>
  <si>
    <t>Cost per 1M tokens:</t>
  </si>
  <si>
    <t>Usage multiplier:</t>
  </si>
  <si>
    <t>GROWTH FACTORS</t>
  </si>
  <si>
    <t>Year 1</t>
  </si>
  <si>
    <t>Year 2</t>
  </si>
  <si>
    <t>Year 3</t>
  </si>
  <si>
    <t>Seat Factor</t>
  </si>
  <si>
    <t>AI Usage Factor</t>
  </si>
  <si>
    <t>ANNUAL COSTS BY YEAR</t>
  </si>
  <si>
    <t>Traditional SaaS</t>
  </si>
  <si>
    <t>Traditional Build</t>
  </si>
  <si>
    <t>3-YEAR TOTAL COST (Including Upfront)</t>
  </si>
  <si>
    <t>Upfront</t>
  </si>
  <si>
    <t>Year 1-3 Total</t>
  </si>
  <si>
    <t>3-Year TCO</t>
  </si>
  <si>
    <t>AI COST BREAKDOWN (Year 3)</t>
  </si>
  <si>
    <t>SaaS + AI:</t>
  </si>
  <si>
    <t>Seat costs:</t>
  </si>
  <si>
    <t>AI costs:</t>
  </si>
  <si>
    <t>AI % of total:</t>
  </si>
  <si>
    <t>Build + AI:</t>
  </si>
  <si>
    <t>Fixed costs:</t>
  </si>
  <si>
    <t>VISUAL COMPARISON</t>
  </si>
  <si>
    <t>3-Year Total Cost Comparison</t>
  </si>
  <si>
    <t>Annual Cost Growth Over Time</t>
  </si>
  <si>
    <t>Key Observations:</t>
  </si>
  <si>
    <t>• Traditional options show steady, predictable growth</t>
  </si>
  <si>
    <t>• AI-enhanced options show accelerating growth</t>
  </si>
  <si>
    <t>• The gap widens each year due to AI inference scaling</t>
  </si>
  <si>
    <t>• Change the usage multiplier to see dramatic cost swings</t>
  </si>
  <si>
    <t>HOW THIS MODEL WORKS</t>
  </si>
  <si>
    <t>The AI Cost Problem</t>
  </si>
  <si>
    <t>Traditional software costs scale predictably with seats (users).</t>
  </si>
  <si>
    <t>AI software costs scale unpredictably with USAGE (interactions × tokens).</t>
  </si>
  <si>
    <t>The Core Formula</t>
  </si>
  <si>
    <t>AI Inference Cost = (Monthly Interactions × 12) × Tokens × Blended Price / 1,000,000</t>
  </si>
  <si>
    <t>Blended Price accounts for input/output token cost difference:</t>
  </si>
  <si>
    <t xml:space="preserve">  Blended = InputPrice × (InputRatio + OutputRatio × Multiplier)</t>
  </si>
  <si>
    <t xml:space="preserve">  Example: $4 × (70% + 30% × 4) = $7.60 per 1M tokens</t>
  </si>
  <si>
    <t>Example with defaults:</t>
  </si>
  <si>
    <t xml:space="preserve">  75,000/month × 12 × 3,000 tokens × $7.60/1M / 1,000,000</t>
  </si>
  <si>
    <t xml:space="preserve">  = $20,520 per year BASE cost</t>
  </si>
  <si>
    <t>Then apply growth and multiplier:</t>
  </si>
  <si>
    <t xml:space="preserve">  Year 1: $20,520 × (1.3 × 5) = $133,380</t>
  </si>
  <si>
    <t xml:space="preserve">  Year 3: $20,520 × (1.3³ × 5) = $225,396</t>
  </si>
  <si>
    <t>The Four Options Compared</t>
  </si>
  <si>
    <t>1. Traditional SaaS ($5.8M over 3 years)</t>
  </si>
  <si>
    <t xml:space="preserve">   • Per-seat pricing only</t>
  </si>
  <si>
    <t xml:space="preserve">   • Predictable 10% annual growth</t>
  </si>
  <si>
    <t xml:space="preserve">   • No AI inference costs</t>
  </si>
  <si>
    <t>2. Traditional Build ($3.0M over 3 years)</t>
  </si>
  <si>
    <t xml:space="preserve">   • High upfront ($1.65M)</t>
  </si>
  <si>
    <t xml:space="preserve">   • Low ongoing ($450K/year)</t>
  </si>
  <si>
    <t>3. SaaS + AI ($2.6M-$7.0M depending on usage)</t>
  </si>
  <si>
    <t xml:space="preserve">   • Per-seat ($1.8M/year) + AI inference</t>
  </si>
  <si>
    <t xml:space="preserve">   • AI costs grow 30% + multiplier effect</t>
  </si>
  <si>
    <t xml:space="preserve">   • HIGH VOLATILITY - depends on actual usage</t>
  </si>
  <si>
    <t>4. Build + AI ($2.1M-$6.5M depending on usage)</t>
  </si>
  <si>
    <t xml:space="preserve">   • High upfront ($2.1M)</t>
  </si>
  <si>
    <t xml:space="preserve">   • Ongoing includes ML team, infrastructure ($800K+)</t>
  </si>
  <si>
    <t xml:space="preserve">   • AI inference costs on top</t>
  </si>
  <si>
    <t>Why Build + AI Costs More Than You Think</t>
  </si>
  <si>
    <t>Build + AI is NOT just 'build' + 'inference costs'. You need:</t>
  </si>
  <si>
    <t>• ML Engineering Team: $300-500K/year</t>
  </si>
  <si>
    <t xml:space="preserve">  - Data scientists and ML engineers</t>
  </si>
  <si>
    <t xml:space="preserve">  - Model training and fine-tuning</t>
  </si>
  <si>
    <t>Understanding The Baseline Economics</t>
  </si>
  <si>
    <t>Why Traditional Build Can Be Cheaper:</t>
  </si>
  <si>
    <t>At 1,000 users, Traditional Build saves 9% vs Traditional SaaS over 3 years.</t>
  </si>
  <si>
    <t>This is realistic because:</t>
  </si>
  <si>
    <t>• Build avoids subscription fees ($1.15M/year)</t>
  </si>
  <si>
    <t>• You pay for engineering team instead ($750K/year)</t>
  </si>
  <si>
    <t>• The math: $4.7M (SaaS) vs $4.3M (Build) = $400K savings</t>
  </si>
  <si>
    <t>BUT Build requires:</t>
  </si>
  <si>
    <t>• $1.65M upfront investment (vs $130K for SaaS)</t>
  </si>
  <si>
    <t>• Hiring and retaining 3 engineers</t>
  </si>
  <si>
    <t>• 12-18 months development time (vs 2-3 months for SaaS)</t>
  </si>
  <si>
    <t>• Ongoing maintenance burden</t>
  </si>
  <si>
    <t>When SaaS Makes More Sense:</t>
  </si>
  <si>
    <t>• Small companies (under 500 users) - SaaS is almost always cheaper</t>
  </si>
  <si>
    <t>• Limited engineering resources</t>
  </si>
  <si>
    <t>• Need fast time-to-market</t>
  </si>
  <si>
    <t>• Want vendor to handle updates, security, compliance</t>
  </si>
  <si>
    <t>When Build Makes More Sense:</t>
  </si>
  <si>
    <t>• Large scale (10K+ users) - fixed costs amortize better</t>
  </si>
  <si>
    <t>• Highly custom requirements SaaS can't meet</t>
  </si>
  <si>
    <t>• Strategic IP/competitive advantage</t>
  </si>
  <si>
    <t>• Long time horizon (5+ years)</t>
  </si>
  <si>
    <t>• Existing engineering team with capacity</t>
  </si>
  <si>
    <t>Why AI Costs Are Different:</t>
  </si>
  <si>
    <t>With AI, Build + AI costs MORE than SaaS + AI at this scale because:</t>
  </si>
  <si>
    <t>• You need ML expertise ($300K-500K per ML engineer)</t>
  </si>
  <si>
    <t>• More intensive monitoring and testing when you own it</t>
  </si>
  <si>
    <t>• Higher infrastructure costs (GPUs, vector databases)</t>
  </si>
  <si>
    <t>• SaaS vendors achieve economies of scale you can't</t>
  </si>
  <si>
    <t>When Build + AI Becomes Cheaper:</t>
  </si>
  <si>
    <t>• Scale: 50K+ users (fixed ML costs amortize)</t>
  </si>
  <si>
    <t>• Existing ML team (save $200K-400K/year)</t>
  </si>
  <si>
    <t>• High inference volume where self-hosting cuts costs 50-70%</t>
  </si>
  <si>
    <t>• Strategic AI as competitive moat</t>
  </si>
  <si>
    <t xml:space="preserve">  - Integration updates</t>
  </si>
  <si>
    <t xml:space="preserve">  - Security patches</t>
  </si>
  <si>
    <t>Total: $700-1,100K/year BEFORE inference costs!</t>
  </si>
  <si>
    <t>The Key Insight</t>
  </si>
  <si>
    <t>Traditional TCO analysis assumes costs are predictable.</t>
  </si>
  <si>
    <t>AI costs can vary 3-5x based on unpredictable usage patterns.</t>
  </si>
  <si>
    <t>At 5x multiplier: Costs are similar to traditional</t>
  </si>
  <si>
    <t>At 10x multiplier: Traditional is often cheaper!</t>
  </si>
  <si>
    <t>Model Limitations</t>
  </si>
  <si>
    <t>This is an educational model. Known limitations:</t>
  </si>
  <si>
    <t>• No NPV/discounting (favors high-upfront options)</t>
  </si>
  <si>
    <t>• No probabilistic analysis (single scenario per multiplier)</t>
  </si>
  <si>
    <t>• Cost-focused only (ignores ROI, productivity gains)</t>
  </si>
  <si>
    <t>• No caching/batching optimizations modeled</t>
  </si>
  <si>
    <t>• Defaults are illustrative - customize with real data</t>
  </si>
  <si>
    <t>For Real Decisions:</t>
  </si>
  <si>
    <t>1. Customize ALL blue cells with vendor quotes</t>
  </si>
  <si>
    <t>2. Run multiple scenarios (1x, 2x, 5x, 10x)</t>
  </si>
  <si>
    <t>3. Add monitoring and cost alerts</t>
  </si>
  <si>
    <t>4. Negotiate pricing caps with vendors</t>
  </si>
  <si>
    <t>5. Consider benefits (productivity) not just costs</t>
  </si>
  <si>
    <t>Most companies choose SaaS for lower risk and faster deployment</t>
  </si>
  <si>
    <t>Traditional costs are somewhat predictable (grow with seats).</t>
  </si>
  <si>
    <t>AI costs are volatile (can spike with usage patterns).</t>
  </si>
  <si>
    <t>Integration or build</t>
  </si>
  <si>
    <t>Model Fine-tuning</t>
  </si>
  <si>
    <t>Main Points: Whatever You Do With the Numbers</t>
  </si>
  <si>
    <t>Build + AI: Fixed base + variable AI costs</t>
  </si>
  <si>
    <t>The result:</t>
  </si>
  <si>
    <t>Four different general rules of thumb…</t>
  </si>
  <si>
    <t>Traditional SaaS: Costs scale with seats</t>
  </si>
  <si>
    <t>Traditional Build: Mostly Fixed costs, not much scaling</t>
  </si>
  <si>
    <t>SaaS + AI: Split between seat costs and AI variable costs</t>
  </si>
  <si>
    <t>Traditional options: Usually Predictable</t>
  </si>
  <si>
    <t>AI options: Still Volatile</t>
  </si>
  <si>
    <t>I've just scaled additional costs for things based on seats, which might not be strictly true, but this is for just a rough cut.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</si>
</sst>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\$#,##0"/>
  </numFmts>
  <fonts count="1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i/>
      <sz val="9"/>
      <color rgb="FFFF0000"/>
      <name val="Calibri"/>
      <family val="2"/>
    </font>
    <font>
      <b/>
      <sz val="16"/>
      <color rgb="FFFFFFFF"/>
      <name val="Calibri (Body)"/>
    </font>
    <font>
      <sz val="16"/>
      <color theme="1"/>
      <name val="Calibri (Body)"/>
    </font>
    <font>
      <b/>
      <sz val="16"/>
      <color rgb="FFFF0000"/>
      <name val="Calibri (Body)"/>
    </font>
    <font>
      <i/>
      <sz val="16"/>
      <name val="Calibri (Body)"/>
    </font>
    <font>
      <sz val="16"/>
      <name val="Calibri (Body)"/>
    </font>
    <font>
      <b/>
      <sz val="16"/>
      <name val="Calibri (Body)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3" borderId="0" xfId="0" applyFill="1"/>
    <xf numFmtId="9" fontId="0" fillId="3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5" fontId="0" fillId="4" borderId="0" xfId="0" applyNumberFormat="1" applyFill="1"/>
    <xf numFmtId="165" fontId="0" fillId="3" borderId="0" xfId="0" applyNumberFormat="1" applyFill="1"/>
    <xf numFmtId="9" fontId="0" fillId="0" borderId="0" xfId="0" applyNumberFormat="1"/>
    <xf numFmtId="164" fontId="0" fillId="0" borderId="0" xfId="0" applyNumberFormat="1"/>
    <xf numFmtId="2" fontId="0" fillId="4" borderId="0" xfId="0" applyNumberFormat="1" applyFill="1"/>
    <xf numFmtId="165" fontId="0" fillId="0" borderId="0" xfId="0" applyNumberFormat="1"/>
    <xf numFmtId="165" fontId="3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2" borderId="0" xfId="0" applyFont="1" applyFill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0" borderId="0" xfId="0" applyFont="1"/>
    <xf numFmtId="0" fontId="0" fillId="0" borderId="0" xfId="0"/>
    <xf numFmtId="0" fontId="4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 3 TCO</a:t>
            </a:r>
          </a:p>
          <a:p>
            <a:pPr>
              <a:defRPr/>
            </a:pPr>
            <a:r>
              <a:rPr lang="en-US"/>
              <a:t>(including</a:t>
            </a:r>
            <a:r>
              <a:rPr lang="en-US" baseline="0"/>
              <a:t> upfront)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Model!$A$26:$A$29</c:f>
              <c:strCache>
                <c:ptCount val="4"/>
                <c:pt idx="0">
                  <c:v>Traditional SaaS</c:v>
                </c:pt>
                <c:pt idx="1">
                  <c:v>Traditional Build</c:v>
                </c:pt>
                <c:pt idx="2">
                  <c:v>SaaS + AI</c:v>
                </c:pt>
                <c:pt idx="3">
                  <c:v>Build + AI</c:v>
                </c:pt>
              </c:strCache>
            </c:strRef>
          </c:cat>
          <c:val>
            <c:numRef>
              <c:f>Model!$D$26:$D$29</c:f>
              <c:numCache>
                <c:formatCode>\$#,##0</c:formatCode>
                <c:ptCount val="4"/>
                <c:pt idx="0">
                  <c:v>4230740</c:v>
                </c:pt>
                <c:pt idx="1">
                  <c:v>4200000</c:v>
                </c:pt>
                <c:pt idx="2">
                  <c:v>8245961.2000000011</c:v>
                </c:pt>
                <c:pt idx="3">
                  <c:v>8978736.1999999993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1-B544-A4C6-D4849D986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3386879"/>
        <c:axId val="151981359"/>
      </c:barChart>
      <c:catAx>
        <c:axId val="42338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81359"/>
        <c:crosses val="autoZero"/>
        <c:auto val="1"/>
        <c:lblAlgn val="ctr"/>
        <c:lblOffset val="100"/>
        <c:noMultiLvlLbl val="0"/>
      </c:catAx>
      <c:valAx>
        <c:axId val="15198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386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Costs Per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Model!$A$18</c:f>
              <c:strCache>
                <c:ptCount val="1"/>
                <c:pt idx="0">
                  <c:v>Traditional SaaS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Model!$B$17:$D$17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Model!$B$18:$D$18</c:f>
              <c:numCache>
                <c:formatCode>\$#,##0</c:formatCode>
                <c:ptCount val="3"/>
                <c:pt idx="0">
                  <c:v>1254000</c:v>
                </c:pt>
                <c:pt idx="1">
                  <c:v>1379400.0000000002</c:v>
                </c:pt>
                <c:pt idx="2">
                  <c:v>1517340.0000000005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9C-494D-9A97-E22D481789C0}"/>
            </c:ext>
          </c:extLst>
        </c:ser>
        <c:ser>
          <c:idx val="1"/>
          <c:order val="1"/>
          <c:tx>
            <c:strRef>
              <c:f>Model!$A$19</c:f>
              <c:strCache>
                <c:ptCount val="1"/>
                <c:pt idx="0">
                  <c:v>Traditional Build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Model!$B$17:$D$17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Model!$B$19:$D$19</c:f>
              <c:numCache>
                <c:formatCode>\$#,##0</c:formatCode>
                <c:ptCount val="3"/>
                <c:pt idx="0">
                  <c:v>1250000</c:v>
                </c:pt>
                <c:pt idx="1">
                  <c:v>1250000</c:v>
                </c:pt>
                <c:pt idx="2">
                  <c:v>1250000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9C-494D-9A97-E22D481789C0}"/>
            </c:ext>
          </c:extLst>
        </c:ser>
        <c:ser>
          <c:idx val="2"/>
          <c:order val="2"/>
          <c:tx>
            <c:strRef>
              <c:f>Model!$A$20</c:f>
              <c:strCache>
                <c:ptCount val="1"/>
                <c:pt idx="0">
                  <c:v>SaaS + AI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Model!$B$17:$D$17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Model!$B$20:$D$20</c:f>
              <c:numCache>
                <c:formatCode>\$#,##0</c:formatCode>
                <c:ptCount val="3"/>
                <c:pt idx="0">
                  <c:v>2255880</c:v>
                </c:pt>
                <c:pt idx="1">
                  <c:v>2657644.0000000005</c:v>
                </c:pt>
                <c:pt idx="2">
                  <c:v>3152437.2000000011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9C-494D-9A97-E22D481789C0}"/>
            </c:ext>
          </c:extLst>
        </c:ser>
        <c:ser>
          <c:idx val="3"/>
          <c:order val="3"/>
          <c:tx>
            <c:strRef>
              <c:f>Model!$A$21</c:f>
              <c:strCache>
                <c:ptCount val="1"/>
                <c:pt idx="0">
                  <c:v>Build + AI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Model!$B$17:$D$17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Model!$B$21:$D$21</c:f>
              <c:numCache>
                <c:formatCode>\$#,##0</c:formatCode>
                <c:ptCount val="3"/>
                <c:pt idx="0">
                  <c:v>2453380</c:v>
                </c:pt>
                <c:pt idx="1">
                  <c:v>2746894</c:v>
                </c:pt>
                <c:pt idx="2">
                  <c:v>3128462.2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9C-494D-9A97-E22D48178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424431"/>
        <c:axId val="150482143"/>
      </c:lineChart>
      <c:catAx>
        <c:axId val="15142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82143"/>
        <c:crosses val="autoZero"/>
        <c:auto val="1"/>
        <c:lblAlgn val="ctr"/>
        <c:lblOffset val="100"/>
        <c:noMultiLvlLbl val="0"/>
      </c:catAx>
      <c:valAx>
        <c:axId val="15048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24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431800</xdr:colOff>
      <xdr:row>3</xdr:row>
      <xdr:rowOff>88900</xdr:rowOff>
    </xdr:from>
    <xdr:to>
      <xdr:col>14</xdr:col>
      <xdr:colOff>215900</xdr:colOff>
      <xdr:row>21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DA913A-EA58-5C4A-BE86-64F5B83A7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317500</xdr:colOff>
      <xdr:row>23</xdr:row>
      <xdr:rowOff>25400</xdr:rowOff>
    </xdr:from>
    <xdr:to>
      <xdr:col>16</xdr:col>
      <xdr:colOff>234950</xdr:colOff>
      <xdr:row>52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F25DCB-86FD-CD40-8C97-0327B2C16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"/>
  <sheetViews>
    <sheetView workbookViewId="0">
      <selection activeCell="A28" sqref="A28"/>
    </sheetView>
  </sheetViews>
  <sheetFormatPr baseColWidth="10" defaultColWidth="8.83203125" defaultRowHeight="21" x14ac:dyDescent="0.25"/>
  <cols>
    <col min="1" max="1" width="70" style="19" customWidth="1"/>
    <col min="2" max="16384" width="8.83203125" style="19"/>
  </cols>
  <sheetData>
    <row r="1" spans="1:1" x14ac:dyDescent="0.25">
      <c r="A1" s="18" t="s">
        <v>0</v>
      </c>
    </row>
    <row r="3" spans="1:1" x14ac:dyDescent="0.25">
      <c r="A3" s="20" t="s">
        <v>1</v>
      </c>
    </row>
    <row r="4" spans="1:1" x14ac:dyDescent="0.25">
      <c r="A4" s="21" t="s">
        <v>2</v>
      </c>
    </row>
    <row r="6" spans="1:1" x14ac:dyDescent="0.25">
      <c r="A6" s="22" t="s">
        <v>3</v>
      </c>
    </row>
    <row r="7" spans="1:1" x14ac:dyDescent="0.25">
      <c r="A7" s="23" t="s">
        <v>4</v>
      </c>
    </row>
    <row r="9" spans="1:1" x14ac:dyDescent="0.25">
      <c r="A9" s="22" t="s">
        <v>5</v>
      </c>
    </row>
    <row r="10" spans="1:1" x14ac:dyDescent="0.25">
      <c r="A10" s="22" t="s">
        <v>6</v>
      </c>
    </row>
    <row r="11" spans="1:1" x14ac:dyDescent="0.25">
      <c r="A11" s="22" t="s">
        <v>7</v>
      </c>
    </row>
    <row r="12" spans="1:1" x14ac:dyDescent="0.25">
      <c r="A12" s="22" t="s">
        <v>8</v>
      </c>
    </row>
    <row r="13" spans="1:1" x14ac:dyDescent="0.25">
      <c r="A13" s="22" t="s">
        <v>9</v>
      </c>
    </row>
    <row r="15" spans="1:1" x14ac:dyDescent="0.25">
      <c r="A15" s="22" t="s">
        <v>10</v>
      </c>
    </row>
    <row r="16" spans="1:1" x14ac:dyDescent="0.25">
      <c r="A16" s="22" t="s">
        <v>11</v>
      </c>
    </row>
    <row r="17" spans="1:1" x14ac:dyDescent="0.25">
      <c r="A17" s="22" t="s">
        <v>12</v>
      </c>
    </row>
    <row r="18" spans="1:1" x14ac:dyDescent="0.25">
      <c r="A18" s="22" t="s">
        <v>13</v>
      </c>
    </row>
    <row r="19" spans="1:1" x14ac:dyDescent="0.25">
      <c r="A19" s="22" t="s">
        <v>14</v>
      </c>
    </row>
    <row r="20" spans="1:1" x14ac:dyDescent="0.25">
      <c r="A20" s="22" t="s">
        <v>15</v>
      </c>
    </row>
    <row r="22" spans="1:1" x14ac:dyDescent="0.25">
      <c r="A22" s="23" t="s">
        <v>16</v>
      </c>
    </row>
    <row r="23" spans="1:1" x14ac:dyDescent="0.25">
      <c r="A23" s="22" t="s">
        <v>17</v>
      </c>
    </row>
    <row r="24" spans="1:1" x14ac:dyDescent="0.25">
      <c r="A24" s="22" t="s">
        <v>184</v>
      </c>
    </row>
    <row r="25" spans="1:1" x14ac:dyDescent="0.25">
      <c r="A25" s="22" t="s">
        <v>185</v>
      </c>
    </row>
    <row r="26" spans="1:1" x14ac:dyDescent="0.25">
      <c r="A26" s="22" t="s">
        <v>186</v>
      </c>
    </row>
    <row r="27" spans="1:1" x14ac:dyDescent="0.25">
      <c r="A27" s="19" t="s">
        <v>198</v>
      </c>
    </row>
    <row r="28" spans="1:1" x14ac:dyDescent="0.25">
      <c r="A28" s="22"/>
    </row>
    <row r="29" spans="1:1" x14ac:dyDescent="0.25">
      <c r="A29" s="22" t="s">
        <v>189</v>
      </c>
    </row>
    <row r="30" spans="1:1" ht="26" x14ac:dyDescent="0.3">
      <c r="A30" s="24" t="s">
        <v>192</v>
      </c>
    </row>
    <row r="31" spans="1:1" ht="26" x14ac:dyDescent="0.3">
      <c r="A31" s="25"/>
    </row>
    <row r="32" spans="1:1" ht="26" x14ac:dyDescent="0.3">
      <c r="A32" s="25" t="s">
        <v>193</v>
      </c>
    </row>
    <row r="33" spans="1:1" ht="26" x14ac:dyDescent="0.3">
      <c r="A33" s="25" t="s">
        <v>194</v>
      </c>
    </row>
    <row r="34" spans="1:1" ht="26" x14ac:dyDescent="0.3">
      <c r="A34" s="25" t="s">
        <v>195</v>
      </c>
    </row>
    <row r="35" spans="1:1" ht="26" x14ac:dyDescent="0.3">
      <c r="A35" s="25" t="s">
        <v>190</v>
      </c>
    </row>
    <row r="36" spans="1:1" ht="26" x14ac:dyDescent="0.3">
      <c r="A36" s="25"/>
    </row>
    <row r="37" spans="1:1" ht="26" x14ac:dyDescent="0.3">
      <c r="A37" s="24" t="s">
        <v>191</v>
      </c>
    </row>
    <row r="38" spans="1:1" ht="26" x14ac:dyDescent="0.3">
      <c r="A38" s="25"/>
    </row>
    <row r="39" spans="1:1" ht="26" x14ac:dyDescent="0.3">
      <c r="A39" s="25" t="s">
        <v>196</v>
      </c>
    </row>
    <row r="40" spans="1:1" ht="26" x14ac:dyDescent="0.3">
      <c r="A40" s="25" t="s">
        <v>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"/>
  <sheetViews>
    <sheetView tabSelected="1" workbookViewId="0">
      <selection activeCell="C20" sqref="C20"/>
    </sheetView>
  </sheetViews>
  <sheetFormatPr baseColWidth="10" defaultColWidth="8.83203125" defaultRowHeight="15" x14ac:dyDescent="0.2"/>
  <cols>
    <col min="1" max="1" width="35" customWidth="1"/>
    <col min="2" max="2" width="25" customWidth="1"/>
    <col min="3" max="5" width="12" customWidth="1"/>
  </cols>
  <sheetData>
    <row r="1" spans="1:5" x14ac:dyDescent="0.2">
      <c r="A1" s="28" t="s">
        <v>19</v>
      </c>
      <c r="B1" s="27"/>
      <c r="C1" s="27"/>
      <c r="D1" s="27"/>
      <c r="E1" s="27"/>
    </row>
    <row r="3" spans="1:5" x14ac:dyDescent="0.2">
      <c r="A3" s="2" t="s">
        <v>20</v>
      </c>
    </row>
    <row r="4" spans="1:5" x14ac:dyDescent="0.2">
      <c r="A4" t="s">
        <v>21</v>
      </c>
      <c r="C4" s="4">
        <v>1000</v>
      </c>
    </row>
    <row r="5" spans="1:5" x14ac:dyDescent="0.2">
      <c r="A5" t="s">
        <v>22</v>
      </c>
      <c r="C5" s="5">
        <v>0.1</v>
      </c>
    </row>
    <row r="8" spans="1:5" x14ac:dyDescent="0.2">
      <c r="A8" s="1" t="s">
        <v>23</v>
      </c>
    </row>
    <row r="10" spans="1:5" x14ac:dyDescent="0.2">
      <c r="A10" t="s">
        <v>24</v>
      </c>
      <c r="B10" t="s">
        <v>25</v>
      </c>
      <c r="C10" s="4">
        <v>75000</v>
      </c>
    </row>
    <row r="11" spans="1:5" x14ac:dyDescent="0.2">
      <c r="A11" t="s">
        <v>26</v>
      </c>
      <c r="B11" t="s">
        <v>27</v>
      </c>
      <c r="C11" s="4">
        <v>3000</v>
      </c>
    </row>
    <row r="12" spans="1:5" x14ac:dyDescent="0.2">
      <c r="A12" t="s">
        <v>28</v>
      </c>
      <c r="B12" t="s">
        <v>29</v>
      </c>
      <c r="C12" s="6">
        <v>4</v>
      </c>
    </row>
    <row r="14" spans="1:5" x14ac:dyDescent="0.2">
      <c r="A14" t="s">
        <v>30</v>
      </c>
      <c r="B14" t="s">
        <v>31</v>
      </c>
      <c r="C14" s="5">
        <v>0.3</v>
      </c>
    </row>
    <row r="16" spans="1:5" x14ac:dyDescent="0.2">
      <c r="A16" t="s">
        <v>32</v>
      </c>
      <c r="B16" t="s">
        <v>33</v>
      </c>
      <c r="C16" s="5">
        <v>0.7</v>
      </c>
    </row>
    <row r="17" spans="1:5" x14ac:dyDescent="0.2">
      <c r="A17" t="s">
        <v>34</v>
      </c>
      <c r="B17" t="s">
        <v>35</v>
      </c>
      <c r="C17" s="4">
        <v>4</v>
      </c>
    </row>
    <row r="19" spans="1:5" x14ac:dyDescent="0.2">
      <c r="A19" t="s">
        <v>36</v>
      </c>
      <c r="B19" t="s">
        <v>37</v>
      </c>
      <c r="C19" s="4">
        <v>5</v>
      </c>
    </row>
    <row r="22" spans="1:5" x14ac:dyDescent="0.2">
      <c r="A22" s="2" t="s">
        <v>38</v>
      </c>
    </row>
    <row r="23" spans="1:5" x14ac:dyDescent="0.2">
      <c r="A23" t="s">
        <v>39</v>
      </c>
      <c r="C23" s="7">
        <f>C12*(C16+(1-C16)*C17)</f>
        <v>7.6000000000000005</v>
      </c>
    </row>
    <row r="24" spans="1:5" x14ac:dyDescent="0.2">
      <c r="A24" t="s">
        <v>40</v>
      </c>
      <c r="C24" s="8">
        <f>C10*12*C11*C23/1000000</f>
        <v>20520</v>
      </c>
    </row>
    <row r="25" spans="1:5" x14ac:dyDescent="0.2">
      <c r="A25" t="s">
        <v>41</v>
      </c>
      <c r="C25" s="8">
        <f>C24*(1+C14)*C19</f>
        <v>133380</v>
      </c>
    </row>
    <row r="26" spans="1:5" x14ac:dyDescent="0.2">
      <c r="A26" t="s">
        <v>42</v>
      </c>
      <c r="C26" s="8">
        <f>C24*((1+C14)^3)*C19</f>
        <v>225412.20000000004</v>
      </c>
    </row>
    <row r="29" spans="1:5" x14ac:dyDescent="0.2">
      <c r="A29" s="26" t="s">
        <v>43</v>
      </c>
      <c r="B29" s="27"/>
      <c r="C29" s="27"/>
      <c r="D29" s="27"/>
      <c r="E29" s="27"/>
    </row>
    <row r="30" spans="1:5" x14ac:dyDescent="0.2">
      <c r="A30" s="3"/>
      <c r="B30" s="3" t="s">
        <v>46</v>
      </c>
      <c r="C30" s="3" t="s">
        <v>47</v>
      </c>
      <c r="D30" s="3" t="s">
        <v>48</v>
      </c>
      <c r="E30" s="3" t="s">
        <v>49</v>
      </c>
    </row>
    <row r="31" spans="1:5" x14ac:dyDescent="0.2">
      <c r="A31" t="s">
        <v>187</v>
      </c>
      <c r="B31" s="9">
        <v>60000</v>
      </c>
      <c r="C31" s="9">
        <v>350000</v>
      </c>
      <c r="D31" s="9">
        <v>80000</v>
      </c>
      <c r="E31" s="9">
        <v>450000</v>
      </c>
    </row>
    <row r="32" spans="1:5" x14ac:dyDescent="0.2">
      <c r="A32" t="s">
        <v>44</v>
      </c>
      <c r="B32" s="9">
        <v>20000</v>
      </c>
      <c r="C32" s="9">
        <v>100000</v>
      </c>
      <c r="D32" s="9">
        <v>100000</v>
      </c>
      <c r="E32" s="9">
        <v>200000</v>
      </c>
    </row>
    <row r="35" spans="1:5" x14ac:dyDescent="0.2">
      <c r="A35" s="2" t="s">
        <v>45</v>
      </c>
    </row>
    <row r="36" spans="1:5" x14ac:dyDescent="0.2">
      <c r="A36" s="3"/>
      <c r="B36" s="3" t="s">
        <v>46</v>
      </c>
      <c r="C36" s="3" t="s">
        <v>47</v>
      </c>
      <c r="D36" s="3" t="s">
        <v>48</v>
      </c>
      <c r="E36" s="3" t="s">
        <v>49</v>
      </c>
    </row>
    <row r="37" spans="1:5" x14ac:dyDescent="0.2">
      <c r="A37" t="s">
        <v>50</v>
      </c>
      <c r="B37" s="9">
        <v>1050000</v>
      </c>
      <c r="C37" s="9">
        <v>0</v>
      </c>
      <c r="D37" s="9">
        <v>1100000</v>
      </c>
      <c r="E37" s="9">
        <v>0</v>
      </c>
    </row>
    <row r="38" spans="1:5" x14ac:dyDescent="0.2">
      <c r="A38" t="s">
        <v>51</v>
      </c>
      <c r="B38" s="9">
        <v>0</v>
      </c>
      <c r="C38" s="9">
        <v>1100000</v>
      </c>
      <c r="D38" s="9">
        <v>0</v>
      </c>
      <c r="E38" s="9">
        <v>1300000</v>
      </c>
    </row>
    <row r="39" spans="1:5" x14ac:dyDescent="0.2">
      <c r="A39" t="s">
        <v>52</v>
      </c>
      <c r="B39" s="9">
        <v>90000</v>
      </c>
      <c r="C39" s="9">
        <v>150000</v>
      </c>
      <c r="D39" s="9">
        <v>150000</v>
      </c>
      <c r="E39" s="9">
        <v>175000</v>
      </c>
    </row>
    <row r="40" spans="1:5" x14ac:dyDescent="0.2">
      <c r="A40" t="s">
        <v>53</v>
      </c>
      <c r="B40" s="9">
        <v>0</v>
      </c>
      <c r="C40" s="9">
        <v>0</v>
      </c>
      <c r="D40" s="8">
        <f>C24</f>
        <v>20520</v>
      </c>
      <c r="E40" s="8">
        <f>C24</f>
        <v>20520</v>
      </c>
    </row>
    <row r="41" spans="1:5" x14ac:dyDescent="0.2">
      <c r="A41" t="s">
        <v>54</v>
      </c>
      <c r="B41" s="9">
        <v>0</v>
      </c>
      <c r="C41" s="9">
        <v>0</v>
      </c>
      <c r="D41" s="9">
        <v>75000</v>
      </c>
      <c r="E41" s="9">
        <v>75000</v>
      </c>
    </row>
    <row r="42" spans="1:5" x14ac:dyDescent="0.2">
      <c r="A42" t="s">
        <v>55</v>
      </c>
      <c r="B42" s="9">
        <v>0</v>
      </c>
      <c r="C42" s="9">
        <v>0</v>
      </c>
      <c r="D42" s="9">
        <v>25000</v>
      </c>
      <c r="E42" s="9">
        <v>40000</v>
      </c>
    </row>
    <row r="43" spans="1:5" x14ac:dyDescent="0.2">
      <c r="A43" t="s">
        <v>188</v>
      </c>
      <c r="B43" s="9">
        <v>0</v>
      </c>
      <c r="C43" s="9">
        <v>0</v>
      </c>
      <c r="D43" s="9">
        <v>15000</v>
      </c>
      <c r="E43" s="9">
        <v>15000</v>
      </c>
    </row>
  </sheetData>
  <mergeCells count="2">
    <mergeCell ref="A29:E29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"/>
  <sheetViews>
    <sheetView workbookViewId="0">
      <selection activeCell="O21" sqref="O21"/>
    </sheetView>
  </sheetViews>
  <sheetFormatPr baseColWidth="10" defaultColWidth="8.83203125" defaultRowHeight="15" x14ac:dyDescent="0.2"/>
  <cols>
    <col min="1" max="1" width="25" customWidth="1"/>
    <col min="2" max="5" width="15" customWidth="1"/>
  </cols>
  <sheetData>
    <row r="1" spans="1:8" ht="19" x14ac:dyDescent="0.25">
      <c r="A1" s="29" t="s">
        <v>56</v>
      </c>
      <c r="B1" s="27"/>
      <c r="C1" s="27"/>
      <c r="D1" s="27"/>
      <c r="E1" s="27"/>
      <c r="F1" s="27"/>
      <c r="G1" s="27"/>
      <c r="H1" s="27"/>
    </row>
    <row r="3" spans="1:8" x14ac:dyDescent="0.2">
      <c r="A3" s="2" t="s">
        <v>57</v>
      </c>
    </row>
    <row r="4" spans="1:8" x14ac:dyDescent="0.2">
      <c r="A4" t="s">
        <v>58</v>
      </c>
      <c r="B4">
        <f>Assumptions!C4</f>
        <v>1000</v>
      </c>
      <c r="D4" t="s">
        <v>59</v>
      </c>
      <c r="E4">
        <f>Assumptions!C10</f>
        <v>75000</v>
      </c>
    </row>
    <row r="5" spans="1:8" x14ac:dyDescent="0.2">
      <c r="A5" t="s">
        <v>60</v>
      </c>
      <c r="B5" s="10">
        <f>Assumptions!C5</f>
        <v>0.1</v>
      </c>
      <c r="D5" t="s">
        <v>61</v>
      </c>
      <c r="E5">
        <f>Assumptions!C11</f>
        <v>3000</v>
      </c>
    </row>
    <row r="6" spans="1:8" x14ac:dyDescent="0.2">
      <c r="A6" t="s">
        <v>62</v>
      </c>
      <c r="B6" s="10">
        <f>Assumptions!C14</f>
        <v>0.3</v>
      </c>
      <c r="D6" t="s">
        <v>63</v>
      </c>
      <c r="E6" s="11">
        <f>Assumptions!C12</f>
        <v>4</v>
      </c>
    </row>
    <row r="7" spans="1:8" x14ac:dyDescent="0.2">
      <c r="A7" t="s">
        <v>64</v>
      </c>
      <c r="B7" t="str">
        <f>Assumptions!C19&amp;"x"</f>
        <v>5x</v>
      </c>
    </row>
    <row r="10" spans="1:8" x14ac:dyDescent="0.2">
      <c r="A10" s="2" t="s">
        <v>65</v>
      </c>
    </row>
    <row r="11" spans="1:8" x14ac:dyDescent="0.2">
      <c r="A11" s="3"/>
      <c r="B11" s="3" t="s">
        <v>66</v>
      </c>
      <c r="C11" s="3" t="s">
        <v>67</v>
      </c>
      <c r="D11" s="3" t="s">
        <v>68</v>
      </c>
    </row>
    <row r="12" spans="1:8" x14ac:dyDescent="0.2">
      <c r="A12" t="s">
        <v>69</v>
      </c>
      <c r="B12" s="12">
        <f>(1+Assumptions!C5)^1</f>
        <v>1.1000000000000001</v>
      </c>
      <c r="C12" s="12">
        <f>(1+Assumptions!C5)^2</f>
        <v>1.2100000000000002</v>
      </c>
      <c r="D12" s="12">
        <f>(1+Assumptions!C5)^3</f>
        <v>1.3310000000000004</v>
      </c>
    </row>
    <row r="13" spans="1:8" x14ac:dyDescent="0.2">
      <c r="A13" t="s">
        <v>70</v>
      </c>
      <c r="B13" s="12">
        <f>(1+Assumptions!C14)^1*Assumptions!C19</f>
        <v>6.5</v>
      </c>
      <c r="C13" s="12">
        <f>(1+Assumptions!C14)^2*Assumptions!C19</f>
        <v>8.4500000000000011</v>
      </c>
      <c r="D13" s="12">
        <f>(1+Assumptions!C14)^3*Assumptions!C19</f>
        <v>10.985000000000003</v>
      </c>
    </row>
    <row r="16" spans="1:8" x14ac:dyDescent="0.2">
      <c r="A16" s="2" t="s">
        <v>71</v>
      </c>
    </row>
    <row r="17" spans="1:4" x14ac:dyDescent="0.2">
      <c r="A17" s="3"/>
      <c r="B17" s="3" t="s">
        <v>66</v>
      </c>
      <c r="C17" s="3" t="s">
        <v>67</v>
      </c>
      <c r="D17" s="3" t="s">
        <v>68</v>
      </c>
    </row>
    <row r="18" spans="1:4" x14ac:dyDescent="0.2">
      <c r="A18" t="s">
        <v>72</v>
      </c>
      <c r="B18" s="13">
        <f>SUM(Assumptions!B37:B43)*B12</f>
        <v>1254000</v>
      </c>
      <c r="C18" s="13">
        <f>SUM(Assumptions!B37:B43)*C12</f>
        <v>1379400.0000000002</v>
      </c>
      <c r="D18" s="13">
        <f>SUM(Assumptions!B37:B43)*D12</f>
        <v>1517340.0000000005</v>
      </c>
    </row>
    <row r="19" spans="1:4" x14ac:dyDescent="0.2">
      <c r="A19" t="s">
        <v>73</v>
      </c>
      <c r="B19" s="13">
        <f>SUM(Assumptions!C37:C43)</f>
        <v>1250000</v>
      </c>
      <c r="C19" s="13">
        <f>SUM(Assumptions!C37:C43)</f>
        <v>1250000</v>
      </c>
      <c r="D19" s="13">
        <f>SUM(Assumptions!C37:C43)</f>
        <v>1250000</v>
      </c>
    </row>
    <row r="20" spans="1:4" x14ac:dyDescent="0.2">
      <c r="A20" t="s">
        <v>48</v>
      </c>
      <c r="B20" s="13">
        <f>(Assumptions!D37+Assumptions!D39)*B12 + (Assumptions!D40+Assumptions!D41+Assumptions!D42+Assumptions!D43)*B13</f>
        <v>2255880</v>
      </c>
      <c r="C20" s="13">
        <f>(Assumptions!D37+Assumptions!D39)*C12 + (Assumptions!D40+Assumptions!D41+Assumptions!D42+Assumptions!D43)*C13</f>
        <v>2657644.0000000005</v>
      </c>
      <c r="D20" s="13">
        <f>(Assumptions!D37+Assumptions!D39)*D12 + (Assumptions!D40+Assumptions!D41+Assumptions!D42+Assumptions!D43)*D13</f>
        <v>3152437.2000000011</v>
      </c>
    </row>
    <row r="21" spans="1:4" x14ac:dyDescent="0.2">
      <c r="A21" t="s">
        <v>49</v>
      </c>
      <c r="B21" s="13">
        <f>(Assumptions!E38+Assumptions!E39) + (Assumptions!E40+Assumptions!E41+Assumptions!E42+Assumptions!E43)*B13</f>
        <v>2453380</v>
      </c>
      <c r="C21" s="13">
        <f>(Assumptions!E38+Assumptions!E39) + (Assumptions!E40+Assumptions!E41+Assumptions!E42+Assumptions!E43)*C13</f>
        <v>2746894</v>
      </c>
      <c r="D21" s="13">
        <f>(Assumptions!E38+Assumptions!E39) + (Assumptions!E40+Assumptions!E41+Assumptions!E42+Assumptions!E43)*D13</f>
        <v>3128462.2</v>
      </c>
    </row>
    <row r="24" spans="1:4" x14ac:dyDescent="0.2">
      <c r="A24" s="2" t="s">
        <v>74</v>
      </c>
    </row>
    <row r="25" spans="1:4" x14ac:dyDescent="0.2">
      <c r="A25" s="3"/>
      <c r="B25" s="3" t="s">
        <v>75</v>
      </c>
      <c r="C25" s="3" t="s">
        <v>76</v>
      </c>
      <c r="D25" s="3" t="s">
        <v>77</v>
      </c>
    </row>
    <row r="26" spans="1:4" x14ac:dyDescent="0.2">
      <c r="A26" t="s">
        <v>72</v>
      </c>
      <c r="B26" s="14">
        <f>SUM(Assumptions!B31:B32)</f>
        <v>80000</v>
      </c>
      <c r="C26" s="14">
        <f>B18+C18+D18</f>
        <v>4150740.0000000005</v>
      </c>
      <c r="D26" s="14">
        <f>B26+C26</f>
        <v>4230740</v>
      </c>
    </row>
    <row r="27" spans="1:4" x14ac:dyDescent="0.2">
      <c r="A27" t="s">
        <v>73</v>
      </c>
      <c r="B27" s="14">
        <f>SUM(Assumptions!C31:C32)</f>
        <v>450000</v>
      </c>
      <c r="C27" s="14">
        <f>B19+C19+D19</f>
        <v>3750000</v>
      </c>
      <c r="D27" s="14">
        <f>B27+C27</f>
        <v>4200000</v>
      </c>
    </row>
    <row r="28" spans="1:4" x14ac:dyDescent="0.2">
      <c r="A28" t="s">
        <v>48</v>
      </c>
      <c r="B28" s="14">
        <f>SUM(Assumptions!D31:D32)</f>
        <v>180000</v>
      </c>
      <c r="C28" s="14">
        <f>B20+C20+D20</f>
        <v>8065961.2000000011</v>
      </c>
      <c r="D28" s="14">
        <f>B28+C28</f>
        <v>8245961.2000000011</v>
      </c>
    </row>
    <row r="29" spans="1:4" x14ac:dyDescent="0.2">
      <c r="A29" t="s">
        <v>49</v>
      </c>
      <c r="B29" s="14">
        <f>SUM(Assumptions!E31:E32)</f>
        <v>650000</v>
      </c>
      <c r="C29" s="14">
        <f>B21+C21+D21</f>
        <v>8328736.2000000002</v>
      </c>
      <c r="D29" s="14">
        <f>B29+C29</f>
        <v>8978736.1999999993</v>
      </c>
    </row>
    <row r="32" spans="1:4" x14ac:dyDescent="0.2">
      <c r="A32" s="2" t="s">
        <v>78</v>
      </c>
    </row>
    <row r="33" spans="1:3" x14ac:dyDescent="0.2">
      <c r="A33" t="s">
        <v>79</v>
      </c>
      <c r="B33" t="s">
        <v>80</v>
      </c>
      <c r="C33" s="13">
        <f>(Assumptions!D37+Assumptions!D39)*D12</f>
        <v>1663750.0000000005</v>
      </c>
    </row>
    <row r="34" spans="1:3" x14ac:dyDescent="0.2">
      <c r="B34" t="s">
        <v>81</v>
      </c>
      <c r="C34" s="13">
        <f>(Assumptions!D40+Assumptions!D41+Assumptions!D42+Assumptions!D43)*D13</f>
        <v>1488687.2000000004</v>
      </c>
    </row>
    <row r="35" spans="1:3" x14ac:dyDescent="0.2">
      <c r="B35" t="s">
        <v>82</v>
      </c>
      <c r="C35" s="10">
        <f>C34/(C33+C34)</f>
        <v>0.47223373712250316</v>
      </c>
    </row>
    <row r="37" spans="1:3" x14ac:dyDescent="0.2">
      <c r="A37" t="s">
        <v>83</v>
      </c>
      <c r="B37" t="s">
        <v>84</v>
      </c>
      <c r="C37" s="13">
        <f>Assumptions!E38+Assumptions!E39</f>
        <v>1475000</v>
      </c>
    </row>
    <row r="38" spans="1:3" x14ac:dyDescent="0.2">
      <c r="B38" t="s">
        <v>81</v>
      </c>
      <c r="C38" s="13">
        <f>(Assumptions!E40+Assumptions!E41+Assumptions!E42+Assumptions!E43)*D13</f>
        <v>1653462.2000000004</v>
      </c>
    </row>
    <row r="39" spans="1:3" x14ac:dyDescent="0.2">
      <c r="B39" t="s">
        <v>82</v>
      </c>
      <c r="C39" s="10">
        <f>C38/(C37+C38)</f>
        <v>0.52852235197216069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7"/>
  <sheetViews>
    <sheetView workbookViewId="0">
      <selection activeCell="G63" sqref="G63"/>
    </sheetView>
  </sheetViews>
  <sheetFormatPr baseColWidth="10" defaultColWidth="8.83203125" defaultRowHeight="15" x14ac:dyDescent="0.2"/>
  <sheetData>
    <row r="1" spans="1:6" x14ac:dyDescent="0.2">
      <c r="A1" s="28" t="s">
        <v>85</v>
      </c>
      <c r="B1" s="27"/>
      <c r="C1" s="27"/>
      <c r="D1" s="27"/>
      <c r="E1" s="27"/>
      <c r="F1" s="27"/>
    </row>
    <row r="3" spans="1:6" ht="16" x14ac:dyDescent="0.2">
      <c r="A3" s="15" t="s">
        <v>86</v>
      </c>
    </row>
    <row r="23" spans="1:1" ht="16" x14ac:dyDescent="0.2">
      <c r="A23" s="15" t="s">
        <v>87</v>
      </c>
    </row>
    <row r="43" spans="1:1" x14ac:dyDescent="0.2">
      <c r="A43" s="2" t="s">
        <v>88</v>
      </c>
    </row>
    <row r="44" spans="1:1" x14ac:dyDescent="0.2">
      <c r="A44" t="s">
        <v>89</v>
      </c>
    </row>
    <row r="45" spans="1:1" x14ac:dyDescent="0.2">
      <c r="A45" t="s">
        <v>90</v>
      </c>
    </row>
    <row r="46" spans="1:1" x14ac:dyDescent="0.2">
      <c r="A46" t="s">
        <v>91</v>
      </c>
    </row>
    <row r="47" spans="1:1" x14ac:dyDescent="0.2">
      <c r="A47" t="s">
        <v>92</v>
      </c>
    </row>
  </sheetData>
  <mergeCells count="1">
    <mergeCell ref="A1:F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9"/>
  <sheetViews>
    <sheetView workbookViewId="0"/>
  </sheetViews>
  <sheetFormatPr baseColWidth="10" defaultColWidth="8.83203125" defaultRowHeight="15" x14ac:dyDescent="0.2"/>
  <cols>
    <col min="1" max="1" width="75" customWidth="1"/>
  </cols>
  <sheetData>
    <row r="1" spans="1:4" x14ac:dyDescent="0.2">
      <c r="A1" s="28" t="s">
        <v>93</v>
      </c>
      <c r="B1" s="27"/>
      <c r="C1" s="27"/>
      <c r="D1" s="27"/>
    </row>
    <row r="4" spans="1:4" x14ac:dyDescent="0.2">
      <c r="A4" s="2" t="s">
        <v>94</v>
      </c>
    </row>
    <row r="6" spans="1:4" x14ac:dyDescent="0.2">
      <c r="A6" t="s">
        <v>95</v>
      </c>
    </row>
    <row r="7" spans="1:4" x14ac:dyDescent="0.2">
      <c r="A7" t="s">
        <v>96</v>
      </c>
    </row>
    <row r="9" spans="1:4" x14ac:dyDescent="0.2">
      <c r="A9" s="2" t="s">
        <v>97</v>
      </c>
    </row>
    <row r="11" spans="1:4" x14ac:dyDescent="0.2">
      <c r="A11" t="s">
        <v>98</v>
      </c>
    </row>
    <row r="13" spans="1:4" x14ac:dyDescent="0.2">
      <c r="A13" t="s">
        <v>99</v>
      </c>
    </row>
    <row r="14" spans="1:4" x14ac:dyDescent="0.2">
      <c r="A14" t="s">
        <v>100</v>
      </c>
    </row>
    <row r="15" spans="1:4" x14ac:dyDescent="0.2">
      <c r="A15" t="s">
        <v>101</v>
      </c>
    </row>
    <row r="17" spans="1:1" x14ac:dyDescent="0.2">
      <c r="A17" t="s">
        <v>102</v>
      </c>
    </row>
    <row r="18" spans="1:1" x14ac:dyDescent="0.2">
      <c r="A18" t="s">
        <v>103</v>
      </c>
    </row>
    <row r="19" spans="1:1" x14ac:dyDescent="0.2">
      <c r="A19" t="s">
        <v>104</v>
      </c>
    </row>
    <row r="21" spans="1:1" x14ac:dyDescent="0.2">
      <c r="A21" t="s">
        <v>105</v>
      </c>
    </row>
    <row r="22" spans="1:1" x14ac:dyDescent="0.2">
      <c r="A22" t="s">
        <v>106</v>
      </c>
    </row>
    <row r="23" spans="1:1" x14ac:dyDescent="0.2">
      <c r="A23" t="s">
        <v>107</v>
      </c>
    </row>
    <row r="25" spans="1:1" x14ac:dyDescent="0.2">
      <c r="A25" s="2" t="s">
        <v>108</v>
      </c>
    </row>
    <row r="27" spans="1:1" x14ac:dyDescent="0.2">
      <c r="A27" s="16" t="s">
        <v>109</v>
      </c>
    </row>
    <row r="28" spans="1:1" x14ac:dyDescent="0.2">
      <c r="A28" t="s">
        <v>110</v>
      </c>
    </row>
    <row r="29" spans="1:1" x14ac:dyDescent="0.2">
      <c r="A29" t="s">
        <v>111</v>
      </c>
    </row>
    <row r="30" spans="1:1" x14ac:dyDescent="0.2">
      <c r="A30" t="s">
        <v>112</v>
      </c>
    </row>
    <row r="32" spans="1:1" x14ac:dyDescent="0.2">
      <c r="A32" s="16" t="s">
        <v>113</v>
      </c>
    </row>
    <row r="33" spans="1:1" x14ac:dyDescent="0.2">
      <c r="A33" t="s">
        <v>114</v>
      </c>
    </row>
    <row r="34" spans="1:1" x14ac:dyDescent="0.2">
      <c r="A34" t="s">
        <v>115</v>
      </c>
    </row>
    <row r="35" spans="1:1" x14ac:dyDescent="0.2">
      <c r="A35" t="s">
        <v>112</v>
      </c>
    </row>
    <row r="37" spans="1:1" x14ac:dyDescent="0.2">
      <c r="A37" s="16" t="s">
        <v>116</v>
      </c>
    </row>
    <row r="38" spans="1:1" x14ac:dyDescent="0.2">
      <c r="A38" t="s">
        <v>117</v>
      </c>
    </row>
    <row r="39" spans="1:1" x14ac:dyDescent="0.2">
      <c r="A39" t="s">
        <v>118</v>
      </c>
    </row>
    <row r="40" spans="1:1" x14ac:dyDescent="0.2">
      <c r="A40" t="s">
        <v>119</v>
      </c>
    </row>
    <row r="42" spans="1:1" x14ac:dyDescent="0.2">
      <c r="A42" s="16" t="s">
        <v>120</v>
      </c>
    </row>
    <row r="43" spans="1:1" x14ac:dyDescent="0.2">
      <c r="A43" t="s">
        <v>121</v>
      </c>
    </row>
    <row r="44" spans="1:1" x14ac:dyDescent="0.2">
      <c r="A44" t="s">
        <v>122</v>
      </c>
    </row>
    <row r="45" spans="1:1" x14ac:dyDescent="0.2">
      <c r="A45" t="s">
        <v>123</v>
      </c>
    </row>
    <row r="46" spans="1:1" x14ac:dyDescent="0.2">
      <c r="A46" t="s">
        <v>119</v>
      </c>
    </row>
    <row r="48" spans="1:1" x14ac:dyDescent="0.2">
      <c r="A48" s="2" t="s">
        <v>124</v>
      </c>
    </row>
    <row r="50" spans="1:1" x14ac:dyDescent="0.2">
      <c r="A50" t="s">
        <v>125</v>
      </c>
    </row>
    <row r="52" spans="1:1" x14ac:dyDescent="0.2">
      <c r="A52" s="17" t="s">
        <v>126</v>
      </c>
    </row>
    <row r="53" spans="1:1" x14ac:dyDescent="0.2">
      <c r="A53" t="s">
        <v>127</v>
      </c>
    </row>
    <row r="54" spans="1:1" x14ac:dyDescent="0.2">
      <c r="A54" t="s">
        <v>128</v>
      </c>
    </row>
    <row r="55" spans="1:1" x14ac:dyDescent="0.2">
      <c r="A55" s="2" t="s">
        <v>129</v>
      </c>
    </row>
    <row r="56" spans="1:1" x14ac:dyDescent="0.2">
      <c r="A56" s="17"/>
    </row>
    <row r="57" spans="1:1" x14ac:dyDescent="0.2">
      <c r="A57" s="16" t="s">
        <v>130</v>
      </c>
    </row>
    <row r="58" spans="1:1" x14ac:dyDescent="0.2">
      <c r="A58" s="17"/>
    </row>
    <row r="59" spans="1:1" x14ac:dyDescent="0.2">
      <c r="A59" s="17" t="s">
        <v>131</v>
      </c>
    </row>
    <row r="60" spans="1:1" x14ac:dyDescent="0.2">
      <c r="A60" s="17" t="s">
        <v>132</v>
      </c>
    </row>
    <row r="61" spans="1:1" x14ac:dyDescent="0.2">
      <c r="A61" s="17"/>
    </row>
    <row r="62" spans="1:1" x14ac:dyDescent="0.2">
      <c r="A62" s="17" t="s">
        <v>133</v>
      </c>
    </row>
    <row r="63" spans="1:1" x14ac:dyDescent="0.2">
      <c r="A63" s="17" t="s">
        <v>134</v>
      </c>
    </row>
    <row r="64" spans="1:1" x14ac:dyDescent="0.2">
      <c r="A64" s="17" t="s">
        <v>135</v>
      </c>
    </row>
    <row r="65" spans="1:1" x14ac:dyDescent="0.2">
      <c r="A65" s="17"/>
    </row>
    <row r="66" spans="1:1" x14ac:dyDescent="0.2">
      <c r="A66" s="17" t="s">
        <v>136</v>
      </c>
    </row>
    <row r="67" spans="1:1" x14ac:dyDescent="0.2">
      <c r="A67" s="17" t="s">
        <v>137</v>
      </c>
    </row>
    <row r="68" spans="1:1" x14ac:dyDescent="0.2">
      <c r="A68" s="17" t="s">
        <v>138</v>
      </c>
    </row>
    <row r="69" spans="1:1" x14ac:dyDescent="0.2">
      <c r="A69" s="17" t="s">
        <v>139</v>
      </c>
    </row>
    <row r="70" spans="1:1" x14ac:dyDescent="0.2">
      <c r="A70" s="17" t="s">
        <v>140</v>
      </c>
    </row>
    <row r="71" spans="1:1" x14ac:dyDescent="0.2">
      <c r="A71" s="17"/>
    </row>
    <row r="72" spans="1:1" x14ac:dyDescent="0.2">
      <c r="A72" s="16" t="s">
        <v>141</v>
      </c>
    </row>
    <row r="73" spans="1:1" x14ac:dyDescent="0.2">
      <c r="A73" s="17" t="s">
        <v>142</v>
      </c>
    </row>
    <row r="74" spans="1:1" x14ac:dyDescent="0.2">
      <c r="A74" s="17" t="s">
        <v>143</v>
      </c>
    </row>
    <row r="75" spans="1:1" x14ac:dyDescent="0.2">
      <c r="A75" s="17" t="s">
        <v>144</v>
      </c>
    </row>
    <row r="76" spans="1:1" x14ac:dyDescent="0.2">
      <c r="A76" s="17" t="s">
        <v>145</v>
      </c>
    </row>
    <row r="77" spans="1:1" x14ac:dyDescent="0.2">
      <c r="A77" s="17"/>
    </row>
    <row r="78" spans="1:1" x14ac:dyDescent="0.2">
      <c r="A78" s="16" t="s">
        <v>146</v>
      </c>
    </row>
    <row r="79" spans="1:1" x14ac:dyDescent="0.2">
      <c r="A79" s="17" t="s">
        <v>147</v>
      </c>
    </row>
    <row r="80" spans="1:1" x14ac:dyDescent="0.2">
      <c r="A80" s="17" t="s">
        <v>148</v>
      </c>
    </row>
    <row r="81" spans="1:1" x14ac:dyDescent="0.2">
      <c r="A81" s="17" t="s">
        <v>149</v>
      </c>
    </row>
    <row r="82" spans="1:1" x14ac:dyDescent="0.2">
      <c r="A82" s="17" t="s">
        <v>150</v>
      </c>
    </row>
    <row r="83" spans="1:1" x14ac:dyDescent="0.2">
      <c r="A83" s="17" t="s">
        <v>151</v>
      </c>
    </row>
    <row r="84" spans="1:1" x14ac:dyDescent="0.2">
      <c r="A84" s="17"/>
    </row>
    <row r="85" spans="1:1" x14ac:dyDescent="0.2">
      <c r="A85" s="16" t="s">
        <v>152</v>
      </c>
    </row>
    <row r="86" spans="1:1" x14ac:dyDescent="0.2">
      <c r="A86" s="17"/>
    </row>
    <row r="87" spans="1:1" x14ac:dyDescent="0.2">
      <c r="A87" s="17" t="s">
        <v>153</v>
      </c>
    </row>
    <row r="88" spans="1:1" x14ac:dyDescent="0.2">
      <c r="A88" s="17"/>
    </row>
    <row r="89" spans="1:1" x14ac:dyDescent="0.2">
      <c r="A89" s="17" t="s">
        <v>154</v>
      </c>
    </row>
    <row r="90" spans="1:1" x14ac:dyDescent="0.2">
      <c r="A90" s="17" t="s">
        <v>155</v>
      </c>
    </row>
    <row r="91" spans="1:1" x14ac:dyDescent="0.2">
      <c r="A91" s="17" t="s">
        <v>156</v>
      </c>
    </row>
    <row r="92" spans="1:1" x14ac:dyDescent="0.2">
      <c r="A92" s="17" t="s">
        <v>157</v>
      </c>
    </row>
    <row r="93" spans="1:1" x14ac:dyDescent="0.2">
      <c r="A93" s="17"/>
    </row>
    <row r="94" spans="1:1" x14ac:dyDescent="0.2">
      <c r="A94" s="16" t="s">
        <v>158</v>
      </c>
    </row>
    <row r="95" spans="1:1" x14ac:dyDescent="0.2">
      <c r="A95" s="17" t="s">
        <v>159</v>
      </c>
    </row>
    <row r="96" spans="1:1" x14ac:dyDescent="0.2">
      <c r="A96" s="17" t="s">
        <v>160</v>
      </c>
    </row>
    <row r="97" spans="1:1" x14ac:dyDescent="0.2">
      <c r="A97" s="17" t="s">
        <v>161</v>
      </c>
    </row>
    <row r="98" spans="1:1" x14ac:dyDescent="0.2">
      <c r="A98" s="17" t="s">
        <v>162</v>
      </c>
    </row>
    <row r="99" spans="1:1" x14ac:dyDescent="0.2">
      <c r="A99" t="s">
        <v>163</v>
      </c>
    </row>
    <row r="100" spans="1:1" x14ac:dyDescent="0.2">
      <c r="A100" t="s">
        <v>164</v>
      </c>
    </row>
    <row r="102" spans="1:1" x14ac:dyDescent="0.2">
      <c r="A102" t="s">
        <v>165</v>
      </c>
    </row>
    <row r="104" spans="1:1" x14ac:dyDescent="0.2">
      <c r="A104" s="2" t="s">
        <v>166</v>
      </c>
    </row>
    <row r="106" spans="1:1" x14ac:dyDescent="0.2">
      <c r="A106" t="s">
        <v>167</v>
      </c>
    </row>
    <row r="107" spans="1:1" x14ac:dyDescent="0.2">
      <c r="A107" t="s">
        <v>168</v>
      </c>
    </row>
    <row r="109" spans="1:1" x14ac:dyDescent="0.2">
      <c r="A109" t="s">
        <v>18</v>
      </c>
    </row>
    <row r="110" spans="1:1" x14ac:dyDescent="0.2">
      <c r="A110" t="s">
        <v>169</v>
      </c>
    </row>
    <row r="111" spans="1:1" x14ac:dyDescent="0.2">
      <c r="A111" t="s">
        <v>170</v>
      </c>
    </row>
    <row r="113" spans="1:1" x14ac:dyDescent="0.2">
      <c r="A113" s="2" t="s">
        <v>171</v>
      </c>
    </row>
    <row r="115" spans="1:1" x14ac:dyDescent="0.2">
      <c r="A115" t="s">
        <v>172</v>
      </c>
    </row>
    <row r="117" spans="1:1" x14ac:dyDescent="0.2">
      <c r="A117" s="17" t="s">
        <v>173</v>
      </c>
    </row>
    <row r="118" spans="1:1" x14ac:dyDescent="0.2">
      <c r="A118" s="17" t="s">
        <v>174</v>
      </c>
    </row>
    <row r="119" spans="1:1" x14ac:dyDescent="0.2">
      <c r="A119" s="17" t="s">
        <v>175</v>
      </c>
    </row>
    <row r="120" spans="1:1" x14ac:dyDescent="0.2">
      <c r="A120" s="17" t="s">
        <v>176</v>
      </c>
    </row>
    <row r="121" spans="1:1" x14ac:dyDescent="0.2">
      <c r="A121" s="17" t="s">
        <v>177</v>
      </c>
    </row>
    <row r="123" spans="1:1" x14ac:dyDescent="0.2">
      <c r="A123" s="2" t="s">
        <v>178</v>
      </c>
    </row>
    <row r="125" spans="1:1" x14ac:dyDescent="0.2">
      <c r="A125" s="16" t="s">
        <v>179</v>
      </c>
    </row>
    <row r="126" spans="1:1" x14ac:dyDescent="0.2">
      <c r="A126" s="16" t="s">
        <v>180</v>
      </c>
    </row>
    <row r="127" spans="1:1" x14ac:dyDescent="0.2">
      <c r="A127" s="16" t="s">
        <v>181</v>
      </c>
    </row>
    <row r="128" spans="1:1" x14ac:dyDescent="0.2">
      <c r="A128" s="16" t="s">
        <v>182</v>
      </c>
    </row>
    <row r="129" spans="1:1" x14ac:dyDescent="0.2">
      <c r="A129" s="16" t="s">
        <v>183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Assumptions</vt:lpstr>
      <vt:lpstr>Model</vt:lpstr>
      <vt:lpstr>Charts</vt:lpstr>
      <vt:lpstr>Documentation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Scott Germaise</dc:creator>
  <cp:keywords/>
  <dc:description/>
  <cp:lastModifiedBy>Scott Germaise</cp:lastModifiedBy>
  <dcterms:created xsi:type="dcterms:W3CDTF">2026-02-09T19:18:28Z</dcterms:created>
  <dcterms:modified xsi:type="dcterms:W3CDTF">2026-02-10T20:49:24Z</dcterms:modified>
  <cp:category/>
</cp:coreProperties>
</file>